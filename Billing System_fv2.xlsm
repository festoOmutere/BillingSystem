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Web Dev\My Projects\"/>
    </mc:Choice>
  </mc:AlternateContent>
  <xr:revisionPtr revIDLastSave="0" documentId="13_ncr:1_{F5B13181-2D47-448C-8091-576A4AA331A1}" xr6:coauthVersionLast="47" xr6:coauthVersionMax="47" xr10:uidLastSave="{00000000-0000-0000-0000-000000000000}"/>
  <bookViews>
    <workbookView xWindow="-120" yWindow="-120" windowWidth="20730" windowHeight="10545" xr2:uid="{8EE165FC-9348-914D-80BD-729008F089B6}"/>
  </bookViews>
  <sheets>
    <sheet name="Bill System" sheetId="1" r:id="rId1"/>
    <sheet name="Database" sheetId="3" r:id="rId2"/>
  </sheets>
  <definedNames>
    <definedName name="_xlnm._FilterDatabase" localSheetId="0" hidden="1">'Bill System'!$B$4:$C$15</definedName>
    <definedName name="Cost">'Bill System'!$B$2:$P$2</definedName>
    <definedName name="Items">'Bill System'!$B$1:$P$1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B11" i="1"/>
  <c r="C11" i="1"/>
  <c r="C10" i="1"/>
  <c r="C9" i="1"/>
  <c r="C7" i="1"/>
  <c r="C6" i="1"/>
  <c r="C4" i="1"/>
  <c r="C5" i="1"/>
  <c r="B10" i="1"/>
  <c r="B9" i="1"/>
  <c r="B8" i="1"/>
  <c r="B7" i="1"/>
  <c r="B6" i="1"/>
  <c r="B4" i="1"/>
  <c r="C15" i="1"/>
  <c r="B15" i="1"/>
  <c r="C14" i="1"/>
  <c r="B14" i="1"/>
  <c r="C13" i="1"/>
  <c r="B13" i="1"/>
  <c r="C12" i="1"/>
  <c r="B12" i="1"/>
  <c r="C18" i="1"/>
  <c r="C17" i="1"/>
  <c r="C16" i="1"/>
  <c r="B5" i="1" l="1"/>
</calcChain>
</file>

<file path=xl/sharedStrings.xml><?xml version="1.0" encoding="utf-8"?>
<sst xmlns="http://schemas.openxmlformats.org/spreadsheetml/2006/main" count="76" uniqueCount="38">
  <si>
    <t>Drinks</t>
  </si>
  <si>
    <t>Price</t>
  </si>
  <si>
    <t>Croissant</t>
  </si>
  <si>
    <t>Bakery</t>
  </si>
  <si>
    <t>Tax Rate</t>
  </si>
  <si>
    <t>Cost</t>
  </si>
  <si>
    <t>Item</t>
  </si>
  <si>
    <t>Tax Amount</t>
  </si>
  <si>
    <t>Sub-total</t>
  </si>
  <si>
    <t>Grand-Total</t>
  </si>
  <si>
    <t>Price per product</t>
  </si>
  <si>
    <t>Green Tea</t>
  </si>
  <si>
    <t>Iced Coffee</t>
  </si>
  <si>
    <t>Smoothie</t>
  </si>
  <si>
    <t>Milk Shake</t>
  </si>
  <si>
    <t>Black Tea</t>
  </si>
  <si>
    <t>Oat Milk</t>
  </si>
  <si>
    <t>Café Mocha</t>
  </si>
  <si>
    <t>Soy Milk</t>
  </si>
  <si>
    <t>Cornbread</t>
  </si>
  <si>
    <t>Bagels</t>
  </si>
  <si>
    <t>Pretzels</t>
  </si>
  <si>
    <t>KES.589</t>
  </si>
  <si>
    <t>KES.88.35</t>
  </si>
  <si>
    <t>KES.677.35</t>
  </si>
  <si>
    <t>Total Cost (KES)</t>
  </si>
  <si>
    <t>KES.198</t>
  </si>
  <si>
    <t>KES.31.68</t>
  </si>
  <si>
    <t>KES.229.68</t>
  </si>
  <si>
    <t>KES.286</t>
  </si>
  <si>
    <t>KES.45.76</t>
  </si>
  <si>
    <t>KES.331.76</t>
  </si>
  <si>
    <t>KES.147</t>
  </si>
  <si>
    <t>KES.23.52</t>
  </si>
  <si>
    <t>KES.170.52</t>
  </si>
  <si>
    <t>KES.447</t>
  </si>
  <si>
    <t>KES.71.52</t>
  </si>
  <si>
    <t>KES.518.52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</si>
</sst>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[$SAR]\ * #,##0.00_);_([$SAR]\ * \(#,##0.00\);_([$SAR]\ * &quot;-&quot;??_);_(@_)"/>
    <numFmt numFmtId="165" formatCode="_([$KES]\ * #,##0.00_);_([$KES]\ * \(#,##0.00\);_([$KES]\ * &quot;-&quot;??_);_(@_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2"/>
      <name val="Calibri"/>
      <family val="2"/>
      <scheme val="minor"/>
    </font>
    <font>
      <sz val="12"/>
      <color theme="0"/>
      <name val="Calibri"/>
      <family val="2"/>
      <scheme val="minor"/>
    </font>
    <font>
      <sz val="22"/>
      <color rgb="FF00000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0" borderId="3" xfId="0" applyFont="1" applyBorder="1"/>
    <xf numFmtId="0" fontId="1" fillId="0" borderId="1" xfId="0" applyFont="1" applyBorder="1"/>
    <xf numFmtId="9" fontId="1" fillId="0" borderId="6" xfId="0" applyNumberFormat="1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3" borderId="0" xfId="0" applyFont="1" applyFill="1"/>
    <xf numFmtId="0" fontId="0" fillId="4" borderId="0" xfId="0" applyFill="1"/>
    <xf numFmtId="164" fontId="0" fillId="0" borderId="0" xfId="0" applyNumberFormat="1"/>
    <xf numFmtId="44" fontId="1" fillId="0" borderId="1" xfId="0" applyNumberFormat="1" applyFont="1" applyBorder="1" applyAlignment="1">
      <alignment horizontal="center"/>
    </xf>
    <xf numFmtId="44" fontId="1" fillId="0" borderId="3" xfId="0" applyNumberFormat="1" applyFont="1" applyBorder="1" applyAlignment="1">
      <alignment horizontal="center"/>
    </xf>
    <xf numFmtId="0" fontId="0" fillId="0" borderId="3" xfId="0" applyBorder="1"/>
    <xf numFmtId="0" fontId="0" fillId="0" borderId="10" xfId="0" applyBorder="1"/>
    <xf numFmtId="0" fontId="2" fillId="2" borderId="0" xfId="0" applyFont="1" applyFill="1" applyAlignment="1">
      <alignment horizontal="center"/>
    </xf>
    <xf numFmtId="0" fontId="1" fillId="5" borderId="12" xfId="0" applyFont="1" applyFill="1" applyBorder="1"/>
    <xf numFmtId="0" fontId="1" fillId="5" borderId="13" xfId="0" applyFont="1" applyFill="1" applyBorder="1"/>
    <xf numFmtId="0" fontId="2" fillId="2" borderId="6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44" fontId="1" fillId="0" borderId="15" xfId="0" applyNumberFormat="1" applyFon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5" fontId="0" fillId="0" borderId="6" xfId="0" applyNumberFormat="1" applyBorder="1"/>
    <xf numFmtId="165" fontId="0" fillId="0" borderId="1" xfId="0" applyNumberFormat="1" applyBorder="1"/>
    <xf numFmtId="165" fontId="0" fillId="0" borderId="7" xfId="0" applyNumberFormat="1" applyBorder="1"/>
    <xf numFmtId="165" fontId="0" fillId="0" borderId="11" xfId="0" applyNumberFormat="1" applyBorder="1"/>
    <xf numFmtId="165" fontId="0" fillId="0" borderId="9" xfId="0" applyNumberFormat="1" applyBorder="1"/>
    <xf numFmtId="165" fontId="0" fillId="0" borderId="8" xfId="0" applyNumberFormat="1" applyBorder="1"/>
  </cellXfs>
  <cellStyles count="1">
    <cellStyle name="Normal" xfId="0" builtinId="0"/>
  </cellStyles>
  <dxfs count="23"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[$KES]\ * #,##0.00_);_([$KES]\ * \(#,##0.00\);_([$KES]\ * &quot;-&quot;??_);_(@_)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15</xdr:row>
          <xdr:rowOff>0</xdr:rowOff>
        </xdr:from>
        <xdr:to>
          <xdr:col>9</xdr:col>
          <xdr:colOff>276225</xdr:colOff>
          <xdr:row>19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Arial Black"/>
                </a:rPr>
                <a:t>Start Bill System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83809B-C916-44EB-8178-76E51E601B63}" name="Table2" displayName="Table2" ref="B3:C18" totalsRowShown="0" headerRowDxfId="22" tableBorderDxfId="21">
  <autoFilter ref="B3:C18" xr:uid="{4183809B-C916-44EB-8178-76E51E601B63}">
    <filterColumn colId="0">
      <customFilters>
        <customFilter operator="notEqual" val=" "/>
      </customFilters>
    </filterColumn>
    <filterColumn colId="1">
      <customFilters>
        <customFilter operator="notEqual" val=" "/>
      </customFilters>
    </filterColumn>
  </autoFilter>
  <tableColumns count="2">
    <tableColumn id="1" xr3:uid="{7E9E2442-EA5D-4DF1-A227-28C1760E2AE7}" name="Item" dataDxfId="20"/>
    <tableColumn id="2" xr3:uid="{9C86D8AD-022B-46B3-82C0-1B8F34B17298}" name="Total Cost (KES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62EBE9-BA5D-4F30-9E6E-49541B6DA133}" name="Table1" displayName="Table1" ref="A1:O1048575" totalsRowShown="0" headerRowDxfId="19" dataDxfId="17" headerRowBorderDxfId="18" tableBorderDxfId="16" totalsRowBorderDxfId="15">
  <autoFilter ref="A1:O1048575" xr:uid="{8462EBE9-BA5D-4F30-9E6E-49541B6DA133}"/>
  <tableColumns count="15">
    <tableColumn id="1" xr3:uid="{FD81F728-D8FF-4A16-ABF5-7612D4D4B11A}" name="Green Tea" dataDxfId="14"/>
    <tableColumn id="2" xr3:uid="{B9BF9ED9-0A4F-42D5-9D64-4EB02D1A1067}" name="Iced Coffee" dataDxfId="13"/>
    <tableColumn id="3" xr3:uid="{4880397C-8D08-45B9-BE07-514C3D06DCD8}" name="Smoothie" dataDxfId="12"/>
    <tableColumn id="4" xr3:uid="{0F0CA5E0-F781-40AF-B44A-993DC484B006}" name="Milk Shake" dataDxfId="11"/>
    <tableColumn id="5" xr3:uid="{CAA73B27-9136-4979-BDBF-8B45FE4B43C6}" name="Black Tea" dataDxfId="10"/>
    <tableColumn id="6" xr3:uid="{A4405564-31A4-4ABF-AF70-D8D81FAEDB83}" name="Oat Milk" dataDxfId="9"/>
    <tableColumn id="7" xr3:uid="{E6C5C0A7-306D-49A3-AD64-E85E960499D7}" name="Café Mocha" dataDxfId="8"/>
    <tableColumn id="8" xr3:uid="{30160309-97A4-4784-B285-CDAAE8D1BD8E}" name="Soy Milk" dataDxfId="7"/>
    <tableColumn id="9" xr3:uid="{1203F816-5D92-476C-A1EB-4BE11E128804}" name="Croissant" dataDxfId="6"/>
    <tableColumn id="10" xr3:uid="{DA600D5E-4CE0-4AB9-BB22-171785438516}" name="Cornbread" dataDxfId="5"/>
    <tableColumn id="11" xr3:uid="{07FC458B-D959-4FA0-A271-8582146BED4A}" name="Bagels" dataDxfId="4"/>
    <tableColumn id="12" xr3:uid="{681A9B49-BDE6-46BF-B59C-85E3D4788230}" name="Pretzels" dataDxfId="3"/>
    <tableColumn id="13" xr3:uid="{750E7487-318B-4769-974C-0F4E003EF1E0}" name="Sub-total" dataDxfId="2"/>
    <tableColumn id="14" xr3:uid="{3A4D00CC-E6DB-4A63-A0DA-D6D2A5453B6C}" name="Tax Amount" dataDxfId="1"/>
    <tableColumn id="15" xr3:uid="{71FCB87E-65FA-461E-9D62-18DF6D4EEBA0}" name="Grand-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ED46D-ADC0-5449-BB9E-C3D5D913B81F}">
  <sheetPr codeName="Sheet1"/>
  <dimension ref="A1:S20"/>
  <sheetViews>
    <sheetView showGridLines="0" tabSelected="1" topLeftCell="C1" workbookViewId="0">
      <pane ySplit="25" topLeftCell="A29" activePane="bottomLeft" state="frozen"/>
      <selection pane="bottomLeft" activeCell="I10" sqref="I1:M10"/>
    </sheetView>
  </sheetViews>
  <sheetFormatPr defaultColWidth="11" defaultRowHeight="15.75" x14ac:dyDescent="0.25"/>
  <cols>
    <col min="1" max="1" width="12.75" style="9" bestFit="1" customWidth="1"/>
    <col min="2" max="2" width="14.75" style="9" bestFit="1" customWidth="1"/>
    <col min="3" max="3" width="13.875" style="9" bestFit="1" customWidth="1"/>
    <col min="4" max="4" width="12.75" style="9" bestFit="1" customWidth="1"/>
    <col min="5" max="5" width="12.625" style="9" customWidth="1"/>
    <col min="6" max="6" width="13.625" style="9" customWidth="1"/>
    <col min="7" max="7" width="13.375" style="9" bestFit="1" customWidth="1"/>
    <col min="8" max="8" width="15.125" style="9" customWidth="1"/>
    <col min="9" max="10" width="11.25" style="9" bestFit="1" customWidth="1"/>
    <col min="11" max="11" width="16.25" style="9" customWidth="1"/>
    <col min="12" max="12" width="11.25" style="9" bestFit="1" customWidth="1"/>
    <col min="13" max="13" width="12.125" style="9" customWidth="1"/>
    <col min="14" max="14" width="12.75" style="9" bestFit="1" customWidth="1"/>
    <col min="15" max="16" width="12.375" style="9" customWidth="1"/>
    <col min="17" max="19" width="11" style="9"/>
  </cols>
  <sheetData>
    <row r="1" spans="1:19" x14ac:dyDescent="0.25">
      <c r="A1" s="7" t="s">
        <v>6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  <c r="I1" s="7" t="s">
        <v>18</v>
      </c>
      <c r="J1" s="7" t="s">
        <v>2</v>
      </c>
      <c r="K1" s="7" t="s">
        <v>19</v>
      </c>
      <c r="L1" s="7" t="s">
        <v>20</v>
      </c>
      <c r="M1" s="7" t="s">
        <v>21</v>
      </c>
      <c r="N1" s="7" t="s">
        <v>8</v>
      </c>
      <c r="O1" s="7" t="s">
        <v>7</v>
      </c>
      <c r="P1" s="7" t="s">
        <v>9</v>
      </c>
      <c r="Q1"/>
      <c r="R1"/>
      <c r="S1"/>
    </row>
    <row r="2" spans="1:19" x14ac:dyDescent="0.25">
      <c r="A2" s="8" t="s">
        <v>5</v>
      </c>
      <c r="B2" s="8">
        <v>12</v>
      </c>
      <c r="C2" s="8">
        <v>24</v>
      </c>
      <c r="D2" s="8">
        <v>42</v>
      </c>
      <c r="E2" s="8">
        <v>45</v>
      </c>
      <c r="F2" s="8">
        <v>48</v>
      </c>
      <c r="G2" s="8">
        <v>64</v>
      </c>
      <c r="H2" s="8">
        <v>36</v>
      </c>
      <c r="I2" s="8">
        <v>57</v>
      </c>
      <c r="J2" s="8">
        <v>27</v>
      </c>
      <c r="K2" s="8">
        <v>27</v>
      </c>
      <c r="L2" s="8">
        <v>39</v>
      </c>
      <c r="M2" s="8">
        <v>26</v>
      </c>
      <c r="N2" s="8" t="s">
        <v>35</v>
      </c>
      <c r="O2" s="8" t="s">
        <v>36</v>
      </c>
      <c r="P2" s="8" t="s">
        <v>37</v>
      </c>
      <c r="Q2"/>
      <c r="R2"/>
      <c r="S2"/>
    </row>
    <row r="3" spans="1:19" x14ac:dyDescent="0.25">
      <c r="A3"/>
      <c r="B3" s="14" t="s">
        <v>6</v>
      </c>
      <c r="C3" s="18" t="s">
        <v>25</v>
      </c>
      <c r="D3"/>
      <c r="E3"/>
      <c r="F3"/>
      <c r="G3"/>
      <c r="H3"/>
      <c r="I3"/>
      <c r="J3"/>
      <c r="K3"/>
      <c r="N3"/>
      <c r="O3"/>
      <c r="P3"/>
      <c r="Q3"/>
      <c r="R3"/>
      <c r="S3"/>
    </row>
    <row r="4" spans="1:19" ht="16.5" thickBot="1" x14ac:dyDescent="0.3">
      <c r="A4"/>
      <c r="B4" s="15" t="str">
        <f>IF(B2&gt;0,B1,"")</f>
        <v>Green Tea</v>
      </c>
      <c r="C4" s="21">
        <f t="shared" ref="C4" si="0">IF(B2&gt;0,B2,"")</f>
        <v>12</v>
      </c>
      <c r="D4"/>
      <c r="E4"/>
      <c r="F4"/>
      <c r="G4"/>
      <c r="H4"/>
      <c r="I4"/>
      <c r="J4"/>
      <c r="K4"/>
      <c r="L4" t="s">
        <v>10</v>
      </c>
      <c r="M4"/>
      <c r="N4"/>
      <c r="O4"/>
      <c r="P4"/>
      <c r="Q4"/>
      <c r="R4"/>
      <c r="S4"/>
    </row>
    <row r="5" spans="1:19" ht="16.5" thickBot="1" x14ac:dyDescent="0.3">
      <c r="A5"/>
      <c r="B5" s="15" t="str">
        <f>IF(C2&gt;0,C1,"")</f>
        <v>Iced Coffee</v>
      </c>
      <c r="C5" s="21">
        <f>IF(C2&gt;0,C2,"")</f>
        <v>24</v>
      </c>
      <c r="D5"/>
      <c r="E5"/>
      <c r="F5"/>
      <c r="G5"/>
      <c r="H5"/>
      <c r="I5"/>
      <c r="J5"/>
      <c r="K5"/>
      <c r="L5" s="1" t="s">
        <v>0</v>
      </c>
      <c r="M5" s="2" t="s">
        <v>1</v>
      </c>
      <c r="N5"/>
      <c r="O5"/>
      <c r="P5"/>
      <c r="Q5"/>
      <c r="R5"/>
      <c r="S5"/>
    </row>
    <row r="6" spans="1:19" x14ac:dyDescent="0.25">
      <c r="A6"/>
      <c r="B6" s="15" t="str">
        <f>IF(D2&gt;0,D1,"")</f>
        <v>Smoothie</v>
      </c>
      <c r="C6" s="21">
        <f>IF(D$2&gt;0,D$2,"")</f>
        <v>42</v>
      </c>
      <c r="D6"/>
      <c r="E6"/>
      <c r="F6"/>
      <c r="G6"/>
      <c r="H6"/>
      <c r="I6"/>
      <c r="J6"/>
      <c r="K6"/>
      <c r="L6" s="3" t="s">
        <v>11</v>
      </c>
      <c r="M6" s="22">
        <v>12</v>
      </c>
      <c r="N6"/>
      <c r="O6"/>
      <c r="P6"/>
      <c r="Q6"/>
      <c r="R6"/>
      <c r="S6"/>
    </row>
    <row r="7" spans="1:19" x14ac:dyDescent="0.25">
      <c r="A7"/>
      <c r="B7" s="15" t="str">
        <f>IF(E2&gt;0,E1,"")</f>
        <v>Milk Shake</v>
      </c>
      <c r="C7" s="21">
        <f>IF(E$2&gt;0,E$2,"")</f>
        <v>45</v>
      </c>
      <c r="D7"/>
      <c r="E7"/>
      <c r="F7"/>
      <c r="G7"/>
      <c r="H7"/>
      <c r="I7"/>
      <c r="J7"/>
      <c r="K7"/>
      <c r="L7" s="4" t="s">
        <v>12</v>
      </c>
      <c r="M7" s="23">
        <v>12</v>
      </c>
      <c r="N7"/>
      <c r="O7"/>
      <c r="P7"/>
      <c r="Q7"/>
      <c r="R7"/>
      <c r="S7"/>
    </row>
    <row r="8" spans="1:19" x14ac:dyDescent="0.25">
      <c r="A8"/>
      <c r="B8" s="15" t="str">
        <f>IF(F2&gt;0,F1,"")</f>
        <v>Black Tea</v>
      </c>
      <c r="C8" s="21">
        <f>IF(F$2&gt;0,F$2,"")</f>
        <v>48</v>
      </c>
      <c r="D8"/>
      <c r="E8"/>
      <c r="F8"/>
      <c r="G8"/>
      <c r="H8"/>
      <c r="I8"/>
      <c r="J8"/>
      <c r="K8"/>
      <c r="L8" s="4" t="s">
        <v>13</v>
      </c>
      <c r="M8" s="23">
        <v>14</v>
      </c>
      <c r="N8"/>
      <c r="O8"/>
      <c r="P8"/>
      <c r="Q8"/>
      <c r="R8"/>
      <c r="S8"/>
    </row>
    <row r="9" spans="1:19" x14ac:dyDescent="0.25">
      <c r="A9"/>
      <c r="B9" s="15" t="str">
        <f>IF(G2&gt;0,G1,"")</f>
        <v>Oat Milk</v>
      </c>
      <c r="C9" s="21">
        <f>IF(G$2&gt;0,G$2,"")</f>
        <v>64</v>
      </c>
      <c r="D9"/>
      <c r="E9"/>
      <c r="F9"/>
      <c r="G9"/>
      <c r="H9"/>
      <c r="I9"/>
      <c r="J9"/>
      <c r="K9"/>
      <c r="L9" s="4" t="s">
        <v>14</v>
      </c>
      <c r="M9" s="23">
        <v>15</v>
      </c>
      <c r="N9"/>
      <c r="O9"/>
      <c r="P9"/>
      <c r="Q9"/>
      <c r="R9"/>
      <c r="S9"/>
    </row>
    <row r="10" spans="1:19" x14ac:dyDescent="0.25">
      <c r="A10"/>
      <c r="B10" s="15" t="str">
        <f>IF(H2&gt;0,H1,"")</f>
        <v>Café Mocha</v>
      </c>
      <c r="C10" s="21">
        <f>IF(H$2&gt;0,H$2,"")</f>
        <v>36</v>
      </c>
      <c r="D10"/>
      <c r="E10"/>
      <c r="F10"/>
      <c r="G10"/>
      <c r="H10"/>
      <c r="I10"/>
      <c r="J10"/>
      <c r="K10"/>
      <c r="L10" s="4" t="s">
        <v>15</v>
      </c>
      <c r="M10" s="23">
        <v>16</v>
      </c>
      <c r="N10"/>
      <c r="O10"/>
      <c r="P10"/>
      <c r="Q10"/>
      <c r="R10"/>
      <c r="S10"/>
    </row>
    <row r="11" spans="1:19" x14ac:dyDescent="0.25">
      <c r="A11"/>
      <c r="B11" s="15" t="str">
        <f>IF(I2&gt;0,I1,"")</f>
        <v>Soy Milk</v>
      </c>
      <c r="C11" s="21">
        <f>IF(I$2&gt;0,I$2,"")</f>
        <v>57</v>
      </c>
      <c r="D11"/>
      <c r="E11"/>
      <c r="F11"/>
      <c r="G11"/>
      <c r="H11"/>
      <c r="I11"/>
      <c r="J11"/>
      <c r="K11"/>
      <c r="L11" s="4" t="s">
        <v>16</v>
      </c>
      <c r="M11" s="23">
        <v>16</v>
      </c>
      <c r="N11"/>
      <c r="O11"/>
      <c r="P11"/>
      <c r="Q11"/>
      <c r="R11"/>
      <c r="S11"/>
    </row>
    <row r="12" spans="1:19" x14ac:dyDescent="0.25">
      <c r="A12"/>
      <c r="B12" s="15" t="str">
        <f>IF(J2&gt;0,J1,"")</f>
        <v>Croissant</v>
      </c>
      <c r="C12" s="21">
        <f>IF(J2&gt;0,J2,"")</f>
        <v>27</v>
      </c>
      <c r="D12"/>
      <c r="E12"/>
      <c r="F12"/>
      <c r="G12"/>
      <c r="H12"/>
      <c r="I12"/>
      <c r="J12"/>
      <c r="K12"/>
      <c r="L12" s="4" t="s">
        <v>17</v>
      </c>
      <c r="M12" s="23">
        <v>18</v>
      </c>
      <c r="N12"/>
      <c r="O12"/>
      <c r="P12"/>
      <c r="Q12"/>
      <c r="R12"/>
      <c r="S12"/>
    </row>
    <row r="13" spans="1:19" ht="16.5" thickBot="1" x14ac:dyDescent="0.3">
      <c r="A13"/>
      <c r="B13" s="15" t="str">
        <f>IF(K2&gt;0,K1,"")</f>
        <v>Cornbread</v>
      </c>
      <c r="C13" s="21">
        <f>IF(K2&gt;0,K2,"")</f>
        <v>27</v>
      </c>
      <c r="D13"/>
      <c r="E13"/>
      <c r="F13"/>
      <c r="G13"/>
      <c r="H13"/>
      <c r="I13"/>
      <c r="K13"/>
      <c r="L13" s="4" t="s">
        <v>18</v>
      </c>
      <c r="M13" s="23">
        <v>19</v>
      </c>
      <c r="N13"/>
      <c r="O13"/>
      <c r="P13"/>
      <c r="Q13"/>
      <c r="R13"/>
      <c r="S13"/>
    </row>
    <row r="14" spans="1:19" ht="16.5" thickBot="1" x14ac:dyDescent="0.3">
      <c r="A14"/>
      <c r="B14" s="15" t="str">
        <f>IF(L2&gt;0,L1,"")</f>
        <v>Bagels</v>
      </c>
      <c r="C14" s="21">
        <f>IF(L2&gt;0,L2,"")</f>
        <v>39</v>
      </c>
      <c r="D14"/>
      <c r="E14"/>
      <c r="F14"/>
      <c r="G14"/>
      <c r="H14"/>
      <c r="I14"/>
      <c r="J14"/>
      <c r="K14"/>
      <c r="L14" s="1" t="s">
        <v>3</v>
      </c>
      <c r="M14" s="24" t="s">
        <v>1</v>
      </c>
      <c r="N14"/>
      <c r="O14"/>
      <c r="P14"/>
      <c r="Q14"/>
      <c r="R14"/>
      <c r="S14"/>
    </row>
    <row r="15" spans="1:19" x14ac:dyDescent="0.25">
      <c r="A15"/>
      <c r="B15" s="16" t="str">
        <f>IF(M2&gt;0,M1,"")</f>
        <v>Pretzels</v>
      </c>
      <c r="C15" s="23">
        <f>IF(M2&gt;0,M2,"")</f>
        <v>26</v>
      </c>
      <c r="D15"/>
      <c r="E15"/>
      <c r="F15"/>
      <c r="G15"/>
      <c r="H15"/>
      <c r="I15"/>
      <c r="J15"/>
      <c r="K15"/>
      <c r="L15" s="3" t="s">
        <v>2</v>
      </c>
      <c r="M15" s="22">
        <v>9</v>
      </c>
      <c r="N15"/>
      <c r="O15"/>
      <c r="P15"/>
      <c r="Q15"/>
      <c r="R15"/>
      <c r="S15"/>
    </row>
    <row r="16" spans="1:19" x14ac:dyDescent="0.25">
      <c r="A16"/>
      <c r="B16" s="17" t="s">
        <v>8</v>
      </c>
      <c r="C16" s="10" t="str">
        <f>N2</f>
        <v>KES.447</v>
      </c>
      <c r="D16"/>
      <c r="E16"/>
      <c r="F16"/>
      <c r="G16"/>
      <c r="H16"/>
      <c r="I16"/>
      <c r="L16" s="4" t="s">
        <v>19</v>
      </c>
      <c r="M16" s="23">
        <v>9</v>
      </c>
      <c r="N16"/>
      <c r="O16"/>
      <c r="P16"/>
      <c r="Q16"/>
      <c r="R16"/>
      <c r="S16"/>
    </row>
    <row r="17" spans="2:13" customFormat="1" x14ac:dyDescent="0.25">
      <c r="B17" s="17" t="s">
        <v>7</v>
      </c>
      <c r="C17" s="11" t="str">
        <f>O2</f>
        <v>KES.71.52</v>
      </c>
      <c r="L17" s="4" t="s">
        <v>20</v>
      </c>
      <c r="M17" s="23">
        <v>13</v>
      </c>
    </row>
    <row r="18" spans="2:13" customFormat="1" x14ac:dyDescent="0.25">
      <c r="B18" s="19" t="s">
        <v>9</v>
      </c>
      <c r="C18" s="20" t="str">
        <f>P2</f>
        <v>KES.518.52</v>
      </c>
      <c r="L18" s="4" t="s">
        <v>21</v>
      </c>
      <c r="M18" s="23">
        <v>13</v>
      </c>
    </row>
    <row r="19" spans="2:13" customFormat="1" ht="16.5" thickBot="1" x14ac:dyDescent="0.3"/>
    <row r="20" spans="2:13" customFormat="1" ht="16.5" thickBot="1" x14ac:dyDescent="0.3">
      <c r="L20" s="6" t="s">
        <v>4</v>
      </c>
      <c r="M20" s="5">
        <v>0.16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_Form">
                <anchor moveWithCells="1" sizeWithCells="1">
                  <from>
                    <xdr:col>5</xdr:col>
                    <xdr:colOff>9525</xdr:colOff>
                    <xdr:row>15</xdr:row>
                    <xdr:rowOff>0</xdr:rowOff>
                  </from>
                  <to>
                    <xdr:col>9</xdr:col>
                    <xdr:colOff>276225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8EBE1-8C2F-4C31-B94E-81CE0F47A03B}">
  <sheetPr codeName="Sheet2"/>
  <dimension ref="A1:O1048575"/>
  <sheetViews>
    <sheetView topLeftCell="D1" workbookViewId="0">
      <selection activeCell="N7" sqref="N7"/>
    </sheetView>
  </sheetViews>
  <sheetFormatPr defaultRowHeight="15.75" x14ac:dyDescent="0.25"/>
  <cols>
    <col min="1" max="1" width="12.75" style="25" bestFit="1" customWidth="1"/>
    <col min="2" max="2" width="12.5" style="26" bestFit="1" customWidth="1"/>
    <col min="3" max="3" width="13.875" style="26" bestFit="1" customWidth="1"/>
    <col min="4" max="4" width="13" style="26" bestFit="1" customWidth="1"/>
    <col min="5" max="5" width="13.875" style="26" bestFit="1" customWidth="1"/>
    <col min="6" max="6" width="11.25" style="26" bestFit="1" customWidth="1"/>
    <col min="7" max="7" width="16.125" style="26" bestFit="1" customWidth="1"/>
    <col min="8" max="9" width="11.25" style="26" bestFit="1" customWidth="1"/>
    <col min="10" max="10" width="17.125" style="26" bestFit="1" customWidth="1"/>
    <col min="11" max="11" width="11.25" style="26" bestFit="1" customWidth="1"/>
    <col min="12" max="12" width="12.75" style="26" bestFit="1" customWidth="1"/>
    <col min="13" max="13" width="10.875" style="26" bestFit="1" customWidth="1"/>
    <col min="14" max="14" width="13.25" style="26" bestFit="1" customWidth="1"/>
    <col min="15" max="15" width="13.125" style="27" bestFit="1" customWidth="1"/>
  </cols>
  <sheetData>
    <row r="1" spans="1:15" x14ac:dyDescent="0.25">
      <c r="A1" s="12" t="s">
        <v>11</v>
      </c>
      <c r="B1" s="12" t="s">
        <v>12</v>
      </c>
      <c r="C1" s="13" t="s">
        <v>13</v>
      </c>
      <c r="D1" s="12" t="s">
        <v>14</v>
      </c>
      <c r="E1" s="12" t="s">
        <v>15</v>
      </c>
      <c r="F1" s="13" t="s">
        <v>16</v>
      </c>
      <c r="G1" s="12" t="s">
        <v>17</v>
      </c>
      <c r="H1" s="12" t="s">
        <v>18</v>
      </c>
      <c r="I1" s="13" t="s">
        <v>2</v>
      </c>
      <c r="J1" s="12" t="s">
        <v>19</v>
      </c>
      <c r="K1" s="12" t="s">
        <v>20</v>
      </c>
      <c r="L1" s="13" t="s">
        <v>21</v>
      </c>
      <c r="M1" s="12" t="s">
        <v>8</v>
      </c>
      <c r="N1" s="12" t="s">
        <v>7</v>
      </c>
      <c r="O1" s="13" t="s">
        <v>9</v>
      </c>
    </row>
    <row r="2" spans="1:15" x14ac:dyDescent="0.25">
      <c r="A2" s="25">
        <v>12</v>
      </c>
      <c r="B2" s="26">
        <v>24</v>
      </c>
      <c r="C2" s="26">
        <v>42</v>
      </c>
      <c r="D2" s="26">
        <v>60</v>
      </c>
      <c r="E2" s="26">
        <v>80</v>
      </c>
      <c r="F2" s="26">
        <v>96</v>
      </c>
      <c r="G2" s="26">
        <v>126</v>
      </c>
      <c r="H2" s="26">
        <v>38</v>
      </c>
      <c r="I2" s="26">
        <v>27</v>
      </c>
      <c r="J2" s="26">
        <v>45</v>
      </c>
      <c r="K2" s="26">
        <v>13</v>
      </c>
      <c r="L2" s="26">
        <v>26</v>
      </c>
      <c r="M2" s="26" t="s">
        <v>22</v>
      </c>
      <c r="N2" s="26" t="s">
        <v>23</v>
      </c>
      <c r="O2" s="27" t="s">
        <v>24</v>
      </c>
    </row>
    <row r="3" spans="1:15" x14ac:dyDescent="0.25">
      <c r="A3" s="25">
        <v>12</v>
      </c>
      <c r="B3" s="26">
        <v>24</v>
      </c>
      <c r="C3" s="26">
        <v>28</v>
      </c>
      <c r="D3" s="26">
        <v>30</v>
      </c>
      <c r="E3" s="26">
        <v>32</v>
      </c>
      <c r="F3" s="26">
        <v>0</v>
      </c>
      <c r="G3" s="26">
        <v>36</v>
      </c>
      <c r="H3" s="26">
        <v>0</v>
      </c>
      <c r="I3" s="26">
        <v>18</v>
      </c>
      <c r="J3" s="26">
        <v>18</v>
      </c>
      <c r="K3" s="26">
        <v>0</v>
      </c>
      <c r="L3" s="26">
        <v>0</v>
      </c>
      <c r="M3" s="26" t="s">
        <v>26</v>
      </c>
      <c r="N3" s="26" t="s">
        <v>27</v>
      </c>
      <c r="O3" s="27" t="s">
        <v>28</v>
      </c>
    </row>
    <row r="4" spans="1:15" x14ac:dyDescent="0.25">
      <c r="A4" s="25">
        <v>24</v>
      </c>
      <c r="B4" s="26">
        <v>36</v>
      </c>
      <c r="C4" s="26">
        <v>42</v>
      </c>
      <c r="D4" s="26">
        <v>30</v>
      </c>
      <c r="E4" s="26">
        <v>64</v>
      </c>
      <c r="F4" s="26">
        <v>0</v>
      </c>
      <c r="G4" s="26">
        <v>36</v>
      </c>
      <c r="H4" s="26">
        <v>0</v>
      </c>
      <c r="I4" s="26">
        <v>27</v>
      </c>
      <c r="J4" s="26">
        <v>27</v>
      </c>
      <c r="K4" s="26">
        <v>0</v>
      </c>
      <c r="L4" s="26">
        <v>0</v>
      </c>
      <c r="M4" s="26" t="s">
        <v>29</v>
      </c>
      <c r="N4" s="26" t="s">
        <v>30</v>
      </c>
      <c r="O4" s="27" t="s">
        <v>31</v>
      </c>
    </row>
    <row r="5" spans="1:15" x14ac:dyDescent="0.25">
      <c r="A5" s="25">
        <v>36</v>
      </c>
      <c r="B5" s="26">
        <v>36</v>
      </c>
      <c r="C5" s="26">
        <v>0</v>
      </c>
      <c r="D5" s="26">
        <v>0</v>
      </c>
      <c r="E5" s="26">
        <v>48</v>
      </c>
      <c r="F5" s="26">
        <v>0</v>
      </c>
      <c r="G5" s="26">
        <v>0</v>
      </c>
      <c r="H5" s="26">
        <v>0</v>
      </c>
      <c r="I5" s="26">
        <v>0</v>
      </c>
      <c r="J5" s="26">
        <v>27</v>
      </c>
      <c r="K5" s="26">
        <v>0</v>
      </c>
      <c r="L5" s="26">
        <v>0</v>
      </c>
      <c r="M5" s="26" t="s">
        <v>32</v>
      </c>
      <c r="N5" s="26" t="s">
        <v>33</v>
      </c>
      <c r="O5" s="27" t="s">
        <v>34</v>
      </c>
    </row>
    <row r="6" spans="1:15" x14ac:dyDescent="0.25">
      <c r="A6" s="25">
        <v>12</v>
      </c>
      <c r="B6" s="26">
        <v>24</v>
      </c>
      <c r="C6" s="26">
        <v>42</v>
      </c>
      <c r="D6" s="26">
        <v>45</v>
      </c>
      <c r="E6" s="26">
        <v>48</v>
      </c>
      <c r="F6" s="26">
        <v>64</v>
      </c>
      <c r="G6" s="26">
        <v>36</v>
      </c>
      <c r="H6" s="26">
        <v>57</v>
      </c>
      <c r="I6" s="26">
        <v>27</v>
      </c>
      <c r="J6" s="26">
        <v>27</v>
      </c>
      <c r="K6" s="26">
        <v>39</v>
      </c>
      <c r="L6" s="26">
        <v>26</v>
      </c>
      <c r="M6" s="26" t="s">
        <v>35</v>
      </c>
      <c r="N6" s="26" t="s">
        <v>36</v>
      </c>
      <c r="O6" s="27" t="s">
        <v>37</v>
      </c>
    </row>
    <row r="7" spans="1:15" x14ac:dyDescent="0.25">
      <c r="A7" s="25">
        <v>12</v>
      </c>
      <c r="B7" s="26">
        <v>24</v>
      </c>
      <c r="C7" s="26">
        <v>42</v>
      </c>
      <c r="D7" s="26">
        <v>45</v>
      </c>
      <c r="E7" s="26">
        <v>48</v>
      </c>
      <c r="F7" s="26">
        <v>64</v>
      </c>
      <c r="G7" s="26">
        <v>36</v>
      </c>
      <c r="H7" s="26">
        <v>57</v>
      </c>
      <c r="I7" s="26">
        <v>27</v>
      </c>
      <c r="J7" s="26">
        <v>27</v>
      </c>
      <c r="K7" s="26">
        <v>39</v>
      </c>
      <c r="L7" s="26">
        <v>26</v>
      </c>
      <c r="M7" s="26" t="s">
        <v>35</v>
      </c>
      <c r="N7" s="26" t="s">
        <v>36</v>
      </c>
      <c r="O7" s="27" t="s">
        <v>37</v>
      </c>
    </row>
    <row r="1048575" spans="1:15" x14ac:dyDescent="0.25">
      <c r="A1048575" s="28"/>
      <c r="B1048575" s="29"/>
      <c r="C1048575" s="29"/>
      <c r="D1048575" s="29"/>
      <c r="E1048575" s="29"/>
      <c r="F1048575" s="29"/>
      <c r="G1048575" s="29"/>
      <c r="H1048575" s="29"/>
      <c r="I1048575" s="29"/>
      <c r="J1048575" s="29"/>
      <c r="K1048575" s="29"/>
      <c r="L1048575" s="29"/>
      <c r="M1048575" s="29"/>
      <c r="N1048575" s="29"/>
      <c r="O1048575" s="3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Bill System</vt:lpstr>
      <vt:lpstr>Database</vt:lpstr>
      <vt:lpstr>Cost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malshiha</dc:creator>
  <cp:lastModifiedBy>HP</cp:lastModifiedBy>
  <dcterms:created xsi:type="dcterms:W3CDTF">2023-03-10T23:49:20Z</dcterms:created>
  <dcterms:modified xsi:type="dcterms:W3CDTF">2023-06-22T21:38:24Z</dcterms:modified>
</cp:coreProperties>
</file>